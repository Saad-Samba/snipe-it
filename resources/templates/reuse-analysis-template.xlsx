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ssamba\Downloads\"/>
    </mc:Choice>
  </mc:AlternateContent>
  <xr:revisionPtr revIDLastSave="0" documentId="8_{41CD709B-F051-4C67-9929-BFB46AECDEB7}" xr6:coauthVersionLast="47" xr6:coauthVersionMax="47" xr10:uidLastSave="{00000000-0000-0000-0000-000000000000}"/>
  <bookViews>
    <workbookView xWindow="-165" yWindow="-165" windowWidth="29130" windowHeight="16530" xr2:uid="{97E7A336-A040-42F9-8E87-BA8F6CD76AD1}"/>
  </bookViews>
  <sheets>
    <sheet name="Reuse Analysis" sheetId="1" r:id="rId1"/>
  </sheets>
  <definedNames>
    <definedName name="_Fill" hidden="1">#REF!</definedName>
    <definedName name="_Key1" hidden="1">#REF!</definedName>
    <definedName name="_Order1" hidden="1">255</definedName>
    <definedName name="_Sort" hidden="1">#REF!</definedName>
    <definedName name="_Table2_In1" hidden="1">#REF!</definedName>
    <definedName name="_Table2_In2" hidden="1">#REF!</definedName>
    <definedName name="AcceptanceStatus">#REF!</definedName>
    <definedName name="Accepted">"Accepted,Not accepted,Accepted with deviations,Not Applicable"</definedName>
    <definedName name="ActStatus">#REF!</definedName>
    <definedName name="adsd">#REF!</definedName>
    <definedName name="Approval_Resp">#REF!</definedName>
    <definedName name="asd">#REF!</definedName>
    <definedName name="dasd">#REF!</definedName>
    <definedName name="Deployed">#REF!</definedName>
    <definedName name="DisciplineList">#REF!</definedName>
    <definedName name="Doc_Reference">#REF!</definedName>
    <definedName name="Doc_Title">#REF!</definedName>
    <definedName name="dsdas">#REF!</definedName>
    <definedName name="dsds">#REF!</definedName>
    <definedName name="expenses_header_row">ROW(#REF!)</definedName>
    <definedName name="expenses_max_row">MAX(ROW(#REF!))</definedName>
    <definedName name="expenses_min_row">MIN(ROW(#REF!))</definedName>
    <definedName name="expenses_total_row">ROW(#REF!)</definedName>
    <definedName name="fd">#REF!</definedName>
    <definedName name="fsdf">#REF!</definedName>
    <definedName name="ggg">#REF!</definedName>
    <definedName name="hello">#REF!</definedName>
    <definedName name="income_header_row">ROW(#REF!)</definedName>
    <definedName name="income_max_row">MAX(ROW(#REF!))</definedName>
    <definedName name="income_min_row">MIN(ROW(#REF!))</definedName>
    <definedName name="income_total_row">ROW(#REF!)</definedName>
    <definedName name="kkkkkk">#REF!</definedName>
    <definedName name="ModelList">#REF!</definedName>
    <definedName name="need_by_date">#REF!</definedName>
    <definedName name="No">#REF!</definedName>
    <definedName name="project_name">#REF!</definedName>
    <definedName name="requestor_email">#REF!</definedName>
    <definedName name="Safety_Related">#REF!</definedName>
    <definedName name="savings_header_row">ROW(#REF!)</definedName>
    <definedName name="savings_max_row">MAX(ROW(#REF!))</definedName>
    <definedName name="savings_min_row">MIN(ROW(#REF!))</definedName>
    <definedName name="savings_rate_calculation_type">#REF!</definedName>
    <definedName name="savings_total_row">ROW(#REF!)</definedName>
    <definedName name="Scenario">#REF!</definedName>
    <definedName name="selected_period">#REF!</definedName>
    <definedName name="selected_period_display">#REF!</definedName>
    <definedName name="selected_year">#REF!</definedName>
    <definedName name="Setup_availability">"Accepted,"</definedName>
    <definedName name="shift_late_income_starting_date">#REF!</definedName>
    <definedName name="shift_late_income_status">#REF!</definedName>
    <definedName name="SiteList">#REF!</definedName>
    <definedName name="sss">#REF!</definedName>
    <definedName name="StatusList">#REF!</definedName>
    <definedName name="test">#REF!</definedName>
    <definedName name="ToolingFamilyList">#REF!</definedName>
    <definedName name="tret">#REF!</definedName>
    <definedName name="TypeList">#REF!</definedName>
    <definedName name="Users">#REF!</definedName>
    <definedName name="YesNo">#REF!</definedName>
    <definedName name="yiyiu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4" i="1" l="1"/>
  <c r="R44" i="1"/>
  <c r="O44" i="1"/>
  <c r="L44" i="1"/>
  <c r="Y43" i="1"/>
  <c r="Z43" i="1" s="1"/>
  <c r="AB43" i="1" s="1"/>
  <c r="W43" i="1"/>
  <c r="H43" i="1"/>
  <c r="Y42" i="1"/>
  <c r="AD42" i="1" s="1"/>
  <c r="AE42" i="1" s="1"/>
  <c r="W42" i="1"/>
  <c r="H42" i="1"/>
  <c r="Y41" i="1"/>
  <c r="AD41" i="1" s="1"/>
  <c r="AE41" i="1" s="1"/>
  <c r="W41" i="1"/>
  <c r="H41" i="1"/>
  <c r="Y40" i="1"/>
  <c r="AD40" i="1" s="1"/>
  <c r="W40" i="1"/>
  <c r="H40" i="1"/>
  <c r="Y39" i="1"/>
  <c r="AD39" i="1" s="1"/>
  <c r="AE39" i="1" s="1"/>
  <c r="W39" i="1"/>
  <c r="H39" i="1"/>
  <c r="U38" i="1"/>
  <c r="R38" i="1"/>
  <c r="O38" i="1"/>
  <c r="L38" i="1"/>
  <c r="Y37" i="1"/>
  <c r="AD37" i="1" s="1"/>
  <c r="AE37" i="1" s="1"/>
  <c r="W37" i="1"/>
  <c r="H37" i="1"/>
  <c r="Y36" i="1"/>
  <c r="Z36" i="1" s="1"/>
  <c r="W36" i="1"/>
  <c r="H36" i="1"/>
  <c r="Y35" i="1"/>
  <c r="AD35" i="1" s="1"/>
  <c r="AE35" i="1" s="1"/>
  <c r="W35" i="1"/>
  <c r="H35" i="1"/>
  <c r="Y34" i="1"/>
  <c r="AD34" i="1" s="1"/>
  <c r="AE34" i="1" s="1"/>
  <c r="W34" i="1"/>
  <c r="H34" i="1"/>
  <c r="Y33" i="1"/>
  <c r="Z33" i="1" s="1"/>
  <c r="W33" i="1"/>
  <c r="H33" i="1"/>
  <c r="AD32" i="1"/>
  <c r="AE32" i="1" s="1"/>
  <c r="U32" i="1"/>
  <c r="R32" i="1"/>
  <c r="O32" i="1"/>
  <c r="L32" i="1"/>
  <c r="H32" i="1"/>
  <c r="Y31" i="1"/>
  <c r="AD31" i="1" s="1"/>
  <c r="W31" i="1"/>
  <c r="Y30" i="1"/>
  <c r="AD30" i="1" s="1"/>
  <c r="AE30" i="1" s="1"/>
  <c r="W30" i="1"/>
  <c r="H30" i="1"/>
  <c r="Y29" i="1"/>
  <c r="AD29" i="1" s="1"/>
  <c r="AE29" i="1" s="1"/>
  <c r="W29" i="1"/>
  <c r="H29" i="1"/>
  <c r="Y28" i="1"/>
  <c r="AD28" i="1" s="1"/>
  <c r="AE28" i="1" s="1"/>
  <c r="W28" i="1"/>
  <c r="H28" i="1"/>
  <c r="Y27" i="1"/>
  <c r="AD27" i="1" s="1"/>
  <c r="AE27" i="1" s="1"/>
  <c r="W27" i="1"/>
  <c r="H27" i="1"/>
  <c r="AD26" i="1"/>
  <c r="AE26" i="1" s="1"/>
  <c r="U26" i="1"/>
  <c r="R26" i="1"/>
  <c r="O26" i="1"/>
  <c r="L26" i="1"/>
  <c r="H26" i="1"/>
  <c r="Y25" i="1"/>
  <c r="Z25" i="1" s="1"/>
  <c r="W25" i="1"/>
  <c r="H25" i="1"/>
  <c r="Y24" i="1"/>
  <c r="AD24" i="1" s="1"/>
  <c r="AE24" i="1" s="1"/>
  <c r="W24" i="1"/>
  <c r="H24" i="1"/>
  <c r="Y23" i="1"/>
  <c r="AD23" i="1" s="1"/>
  <c r="AE23" i="1" s="1"/>
  <c r="W23" i="1"/>
  <c r="H23" i="1"/>
  <c r="Y22" i="1"/>
  <c r="Z22" i="1" s="1"/>
  <c r="W22" i="1"/>
  <c r="H22" i="1"/>
  <c r="Y21" i="1"/>
  <c r="AD21" i="1" s="1"/>
  <c r="AE21" i="1" s="1"/>
  <c r="W21" i="1"/>
  <c r="H21" i="1"/>
  <c r="U20" i="1"/>
  <c r="R20" i="1"/>
  <c r="O20" i="1"/>
  <c r="L20" i="1"/>
  <c r="Y19" i="1"/>
  <c r="AD19" i="1" s="1"/>
  <c r="AE19" i="1" s="1"/>
  <c r="W19" i="1"/>
  <c r="H19" i="1"/>
  <c r="Y18" i="1"/>
  <c r="AD18" i="1" s="1"/>
  <c r="AE18" i="1" s="1"/>
  <c r="W18" i="1"/>
  <c r="H18" i="1"/>
  <c r="Y17" i="1"/>
  <c r="AD17" i="1" s="1"/>
  <c r="AE17" i="1" s="1"/>
  <c r="W17" i="1"/>
  <c r="H17" i="1"/>
  <c r="Y16" i="1"/>
  <c r="AD16" i="1" s="1"/>
  <c r="AE16" i="1" s="1"/>
  <c r="W16" i="1"/>
  <c r="H16" i="1"/>
  <c r="Y15" i="1"/>
  <c r="AD15" i="1" s="1"/>
  <c r="AE15" i="1" s="1"/>
  <c r="W15" i="1"/>
  <c r="H15" i="1"/>
  <c r="U14" i="1"/>
  <c r="R14" i="1"/>
  <c r="O14" i="1"/>
  <c r="L14" i="1"/>
  <c r="Y13" i="1"/>
  <c r="AD13" i="1" s="1"/>
  <c r="AE13" i="1" s="1"/>
  <c r="W13" i="1"/>
  <c r="H13" i="1"/>
  <c r="Y12" i="1"/>
  <c r="AD12" i="1" s="1"/>
  <c r="AE12" i="1" s="1"/>
  <c r="W12" i="1"/>
  <c r="H12" i="1"/>
  <c r="Y11" i="1"/>
  <c r="AD11" i="1" s="1"/>
  <c r="AE11" i="1" s="1"/>
  <c r="W11" i="1"/>
  <c r="H11" i="1"/>
  <c r="Y10" i="1"/>
  <c r="AD10" i="1" s="1"/>
  <c r="AE10" i="1" s="1"/>
  <c r="W10" i="1"/>
  <c r="H10" i="1"/>
  <c r="Y9" i="1"/>
  <c r="AD9" i="1" s="1"/>
  <c r="AE9" i="1" s="1"/>
  <c r="W9" i="1"/>
  <c r="H9" i="1"/>
  <c r="AB22" i="1" l="1"/>
  <c r="AB36" i="1"/>
  <c r="AB25" i="1"/>
  <c r="Z19" i="1"/>
  <c r="AB19" i="1" s="1"/>
  <c r="AB33" i="1"/>
  <c r="Z18" i="1"/>
  <c r="AB18" i="1" s="1"/>
  <c r="Z30" i="1"/>
  <c r="AB30" i="1" s="1"/>
  <c r="Z31" i="1"/>
  <c r="AB31" i="1" s="1"/>
  <c r="Z40" i="1"/>
  <c r="AB40" i="1" s="1"/>
  <c r="Z41" i="1"/>
  <c r="AB41" i="1" s="1"/>
  <c r="Z21" i="1"/>
  <c r="Z42" i="1"/>
  <c r="AB42" i="1" s="1"/>
  <c r="Z9" i="1"/>
  <c r="Z27" i="1"/>
  <c r="Z34" i="1"/>
  <c r="AB34" i="1" s="1"/>
  <c r="H14" i="1"/>
  <c r="Z13" i="1"/>
  <c r="AB13" i="1" s="1"/>
  <c r="Z28" i="1"/>
  <c r="AB28" i="1" s="1"/>
  <c r="Z35" i="1"/>
  <c r="AB35" i="1" s="1"/>
  <c r="Z12" i="1"/>
  <c r="AB12" i="1" s="1"/>
  <c r="Z15" i="1"/>
  <c r="Z11" i="1"/>
  <c r="AB11" i="1" s="1"/>
  <c r="Z16" i="1"/>
  <c r="AB16" i="1" s="1"/>
  <c r="Z23" i="1"/>
  <c r="AB23" i="1" s="1"/>
  <c r="Z29" i="1"/>
  <c r="AB29" i="1" s="1"/>
  <c r="Z37" i="1"/>
  <c r="AB37" i="1" s="1"/>
  <c r="Z10" i="1"/>
  <c r="AB10" i="1" s="1"/>
  <c r="Z17" i="1"/>
  <c r="AB17" i="1" s="1"/>
  <c r="Z24" i="1"/>
  <c r="AB24" i="1" s="1"/>
  <c r="Z39" i="1"/>
  <c r="AB15" i="1"/>
  <c r="W44" i="1"/>
  <c r="AD25" i="1"/>
  <c r="AE25" i="1" s="1"/>
  <c r="AD36" i="1"/>
  <c r="AE36" i="1" s="1"/>
  <c r="W20" i="1"/>
  <c r="H20" i="1"/>
  <c r="H38" i="1"/>
  <c r="W38" i="1"/>
  <c r="H44" i="1"/>
  <c r="W14" i="1"/>
  <c r="H31" i="1"/>
  <c r="AD22" i="1"/>
  <c r="AE22" i="1" s="1"/>
  <c r="AE31" i="1" s="1"/>
  <c r="AD33" i="1"/>
  <c r="AE33" i="1" s="1"/>
  <c r="W26" i="1"/>
  <c r="W32" i="1"/>
  <c r="AE14" i="1"/>
  <c r="AE20" i="1"/>
  <c r="AD43" i="1"/>
  <c r="AE43" i="1" s="1"/>
  <c r="AE44" i="1" s="1"/>
  <c r="Z32" i="1" l="1"/>
  <c r="AB38" i="1"/>
  <c r="W46" i="1"/>
  <c r="Z44" i="1"/>
  <c r="H46" i="1"/>
  <c r="Z20" i="1"/>
  <c r="AB9" i="1"/>
  <c r="AB14" i="1" s="1"/>
  <c r="Z14" i="1"/>
  <c r="AB27" i="1"/>
  <c r="AB32" i="1" s="1"/>
  <c r="Z26" i="1"/>
  <c r="AB21" i="1"/>
  <c r="AB26" i="1" s="1"/>
  <c r="AB20" i="1"/>
  <c r="AB39" i="1"/>
  <c r="AB44" i="1" s="1"/>
  <c r="Z38" i="1"/>
  <c r="AE38" i="1"/>
  <c r="AE46" i="1"/>
  <c r="Z46" i="1" l="1"/>
  <c r="AB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tc={E7DE8CA9-0460-476F-9DB1-9D943D3D935E}</author>
  </authors>
  <commentList>
    <comment ref="W8" authorId="0" shapeId="0" xr:uid="{E7DE8CA9-0460-476F-9DB1-9D943D3D935E}">
      <text>
        <t>[Threaded comment]
Your version of Excel allows you to read this threaded comment; however, any edits to it will get removed if the file is opened in a newer version of Excel. Learn more: https://go.microsoft.com/fwlink/?linkid=870924
Comment:
    Shipping, Tax, Repair, Spare</t>
      </text>
    </comment>
  </commentList>
</comments>
</file>

<file path=xl/sharedStrings.xml><?xml version="1.0" encoding="utf-8"?>
<sst xmlns="http://schemas.openxmlformats.org/spreadsheetml/2006/main" count="44" uniqueCount="36">
  <si>
    <t>Disciplines</t>
  </si>
  <si>
    <t>Asset Family</t>
  </si>
  <si>
    <t>Asset Model</t>
  </si>
  <si>
    <t>Unit Price</t>
  </si>
  <si>
    <t>Cost</t>
  </si>
  <si>
    <t>Origin/Destination</t>
  </si>
  <si>
    <t>Qty</t>
  </si>
  <si>
    <t>To Buy</t>
  </si>
  <si>
    <t>Reused Asset List (S/N)</t>
  </si>
  <si>
    <t>Platform</t>
  </si>
  <si>
    <t>Canoe Run</t>
  </si>
  <si>
    <t>SFD/IEC</t>
  </si>
  <si>
    <t>Debugger</t>
  </si>
  <si>
    <t>LA-7777</t>
  </si>
  <si>
    <t>Power Supply</t>
  </si>
  <si>
    <t>EA-2040</t>
  </si>
  <si>
    <t xml:space="preserve">Davinci Configurator </t>
  </si>
  <si>
    <t>Software</t>
  </si>
  <si>
    <t>System</t>
  </si>
  <si>
    <t>PXI Chassis</t>
  </si>
  <si>
    <t>PXIe-1084</t>
  </si>
  <si>
    <t>VLS/IEC</t>
  </si>
  <si>
    <t>Hardware</t>
  </si>
  <si>
    <t>Mechanical</t>
  </si>
  <si>
    <t>Validation</t>
  </si>
  <si>
    <t>Total (USD)</t>
  </si>
  <si>
    <t>Authoring Tool</t>
  </si>
  <si>
    <t>Network Simulator Tool</t>
  </si>
  <si>
    <t xml:space="preserve"> Cost</t>
  </si>
  <si>
    <t>Net Saving</t>
  </si>
  <si>
    <t>Reuse Value</t>
  </si>
  <si>
    <t>Reuse Qty</t>
  </si>
  <si>
    <t>Transfer Cost</t>
  </si>
  <si>
    <t>Total Need Cost</t>
  </si>
  <si>
    <t>Required Qty</t>
  </si>
  <si>
    <t>Amount to 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</si>
</sst>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 style="medium">
        <color rgb="FF0070C0"/>
      </right>
      <top style="thin">
        <color indexed="64"/>
      </top>
      <bottom style="double">
        <color indexed="64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/>
    <xf numFmtId="3" fontId="1" fillId="0" borderId="1" xfId="0" applyNumberFormat="1" applyFont="1" applyBorder="1" applyAlignment="1">
      <alignment horizont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vertical="center"/>
    </xf>
    <xf numFmtId="3" fontId="2" fillId="2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0" fontId="0" fillId="2" borderId="3" xfId="0" applyFill="1" applyBorder="1" applyAlignment="1">
      <alignment horizontal="left"/>
    </xf>
    <xf numFmtId="0" fontId="0" fillId="2" borderId="3" xfId="0" applyFill="1" applyBorder="1" applyAlignment="1">
      <alignment horizontal="center"/>
    </xf>
    <xf numFmtId="3" fontId="2" fillId="2" borderId="4" xfId="0" applyNumberFormat="1" applyFont="1" applyFill="1" applyBorder="1" applyAlignment="1">
      <alignment horizontal="right" vertical="center"/>
    </xf>
    <xf numFmtId="3" fontId="2" fillId="2" borderId="0" xfId="0" applyNumberFormat="1" applyFont="1" applyFill="1" applyAlignment="1">
      <alignment horizontal="center" vertical="center"/>
    </xf>
    <xf numFmtId="3" fontId="2" fillId="2" borderId="0" xfId="0" applyNumberFormat="1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3" fontId="2" fillId="2" borderId="5" xfId="0" applyNumberFormat="1" applyFont="1" applyFill="1" applyBorder="1" applyAlignment="1">
      <alignment horizontal="right" vertical="center"/>
    </xf>
    <xf numFmtId="0" fontId="2" fillId="2" borderId="6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right" vertical="center"/>
    </xf>
    <xf numFmtId="3" fontId="3" fillId="2" borderId="6" xfId="0" applyNumberFormat="1" applyFont="1" applyFill="1" applyBorder="1" applyAlignment="1">
      <alignment horizontal="right" vertical="center"/>
    </xf>
    <xf numFmtId="0" fontId="3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7" xfId="0" applyNumberFormat="1" applyFont="1" applyFill="1" applyBorder="1" applyAlignment="1">
      <alignment horizontal="right" vertical="center"/>
    </xf>
    <xf numFmtId="3" fontId="3" fillId="2" borderId="6" xfId="0" applyNumberFormat="1" applyFont="1" applyFill="1" applyBorder="1" applyAlignment="1">
      <alignment horizontal="center" vertical="center"/>
    </xf>
    <xf numFmtId="3" fontId="2" fillId="2" borderId="6" xfId="0" applyNumberFormat="1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8" xfId="0" applyBorder="1"/>
    <xf numFmtId="3" fontId="2" fillId="0" borderId="9" xfId="0" applyNumberFormat="1" applyFont="1" applyBorder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3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right" vertical="center"/>
    </xf>
    <xf numFmtId="3" fontId="2" fillId="0" borderId="6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right" vertical="center"/>
    </xf>
    <xf numFmtId="0" fontId="0" fillId="0" borderId="6" xfId="0" applyBorder="1"/>
    <xf numFmtId="3" fontId="3" fillId="0" borderId="7" xfId="0" applyNumberFormat="1" applyFont="1" applyBorder="1" applyAlignment="1">
      <alignment horizontal="right" vertical="center"/>
    </xf>
    <xf numFmtId="0" fontId="1" fillId="0" borderId="6" xfId="0" applyFont="1" applyBorder="1"/>
    <xf numFmtId="3" fontId="3" fillId="0" borderId="6" xfId="0" applyNumberFormat="1" applyFont="1" applyBorder="1" applyAlignment="1">
      <alignment horizontal="center" vertic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right"/>
    </xf>
    <xf numFmtId="3" fontId="1" fillId="3" borderId="0" xfId="0" applyNumberFormat="1" applyFont="1" applyFill="1"/>
    <xf numFmtId="3" fontId="1" fillId="3" borderId="0" xfId="0" applyNumberFormat="1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 applyAlignment="1">
      <alignment horizontal="center"/>
    </xf>
    <xf numFmtId="3" fontId="2" fillId="2" borderId="10" xfId="0" applyNumberFormat="1" applyFont="1" applyFill="1" applyBorder="1" applyAlignment="1">
      <alignment horizontal="right" vertical="center"/>
    </xf>
    <xf numFmtId="3" fontId="3" fillId="2" borderId="11" xfId="0" applyNumberFormat="1" applyFont="1" applyFill="1" applyBorder="1" applyAlignment="1">
      <alignment horizontal="right" vertical="center"/>
    </xf>
    <xf numFmtId="3" fontId="2" fillId="0" borderId="10" xfId="0" applyNumberFormat="1" applyFont="1" applyBorder="1" applyAlignment="1">
      <alignment horizontal="right" vertical="center"/>
    </xf>
    <xf numFmtId="3" fontId="3" fillId="0" borderId="11" xfId="0" applyNumberFormat="1" applyFont="1" applyBorder="1" applyAlignment="1">
      <alignment horizontal="right" vertical="center"/>
    </xf>
    <xf numFmtId="3" fontId="0" fillId="0" borderId="10" xfId="0" applyNumberFormat="1" applyBorder="1"/>
    <xf numFmtId="3" fontId="1" fillId="3" borderId="12" xfId="0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3" fontId="2" fillId="2" borderId="15" xfId="0" applyNumberFormat="1" applyFont="1" applyFill="1" applyBorder="1" applyAlignment="1">
      <alignment horizontal="right" vertical="center"/>
    </xf>
    <xf numFmtId="3" fontId="3" fillId="2" borderId="16" xfId="0" applyNumberFormat="1" applyFont="1" applyFill="1" applyBorder="1" applyAlignment="1">
      <alignment horizontal="right" vertical="center"/>
    </xf>
    <xf numFmtId="3" fontId="2" fillId="0" borderId="15" xfId="0" applyNumberFormat="1" applyFont="1" applyBorder="1" applyAlignment="1">
      <alignment horizontal="right" vertical="center"/>
    </xf>
    <xf numFmtId="3" fontId="3" fillId="0" borderId="16" xfId="0" applyNumberFormat="1" applyFont="1" applyBorder="1" applyAlignment="1">
      <alignment horizontal="right" vertical="center"/>
    </xf>
    <xf numFmtId="3" fontId="0" fillId="0" borderId="15" xfId="0" applyNumberFormat="1" applyBorder="1"/>
    <xf numFmtId="3" fontId="1" fillId="3" borderId="17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257178</xdr:colOff>
      <xdr:row>0</xdr:row>
      <xdr:rowOff>95250</xdr:rowOff>
    </xdr:from>
    <xdr:to>
      <xdr:col>22</xdr:col>
      <xdr:colOff>781053</xdr:colOff>
      <xdr:row>6</xdr:row>
      <xdr:rowOff>104774</xdr:rowOff>
    </xdr:to>
    <xdr:sp macro="" textlink="">
      <xdr:nvSpPr>
        <xdr:cNvPr id="2" name="Arrow: Pentagon 1">
          <a:extLst>
            <a:ext uri="{FF2B5EF4-FFF2-40B4-BE49-F238E27FC236}">
              <a16:creationId xmlns:a16="http://schemas.microsoft.com/office/drawing/2014/main" id="{F2B87533-8888-4B5E-9C50-F5B48151FACD}"/>
            </a:ext>
          </a:extLst>
        </xdr:cNvPr>
        <xdr:cNvSpPr>
          <a:spLocks noChangeAspect="1"/>
        </xdr:cNvSpPr>
      </xdr:nvSpPr>
      <xdr:spPr>
        <a:xfrm rot="16200000">
          <a:off x="7867654" y="409574"/>
          <a:ext cx="1152524" cy="523875"/>
        </a:xfrm>
        <a:prstGeom prst="homePlate">
          <a:avLst/>
        </a:prstGeom>
        <a:ln/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overflow" horzOverflow="overflow" wrap="square" rtlCol="0" anchor="ctr"/>
        <a:lstStyle/>
        <a:p>
          <a:pPr algn="ctr"/>
          <a:r>
            <a:rPr lang="fr-FR" sz="1100" kern="1200"/>
            <a:t>Expend</a:t>
          </a:r>
          <a:r>
            <a:rPr lang="fr-FR" sz="1100" kern="1200" baseline="0"/>
            <a:t>  For Transfer Cost Details</a:t>
          </a:r>
          <a:endParaRPr lang="fr-FR" sz="1100" kern="12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Ihhouf, Tarik" id="{97D114E3-8317-446E-B909-076EFB1C9D93}" userId="S::TIhhouf@lear.com::74ff2c3b-176b-4439-a02c-02c5d312224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8" dT="2026-05-14T17:10:46.20" personId="{97D114E3-8317-446E-B909-076EFB1C9D93}" id="{E7DE8CA9-0460-476F-9DB1-9D943D3D935E}">
    <text>Shipping, Tax, Repair, Spare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0AAD-88A5-4FD2-9005-B078EB2CD955}">
  <dimension ref="B7:AG48"/>
  <sheetViews>
    <sheetView showGridLines="0" tabSelected="1" workbookViewId="0">
      <pane ySplit="8" topLeftCell="A9" activePane="bottomLeft" state="frozen"/>
      <selection pane="bottomLeft" activeCell="AA5" sqref="AA5"/>
    </sheetView>
  </sheetViews>
  <sheetFormatPr defaultRowHeight="14.5" outlineLevelCol="1" x14ac:dyDescent="0.35"/>
  <cols>
    <col min="1" max="1" width="3.26953125" customWidth="1"/>
    <col min="2" max="2" width="16.81640625" customWidth="1"/>
    <col min="3" max="3" width="39.26953125" customWidth="1"/>
    <col min="4" max="4" width="26.453125" customWidth="1"/>
    <col min="5" max="5" width="11" style="1" customWidth="1"/>
    <col min="6" max="6" width="0.7265625" customWidth="1"/>
    <col min="7" max="7" width="13.453125" customWidth="1"/>
    <col min="8" max="8" width="18.453125" customWidth="1"/>
    <col min="9" max="9" width="1" customWidth="1"/>
    <col min="10" max="10" width="18.81640625" hidden="1" customWidth="1" outlineLevel="1"/>
    <col min="11" max="11" width="5.1796875" hidden="1" customWidth="1" outlineLevel="1"/>
    <col min="12" max="12" width="10.453125" hidden="1" customWidth="1" outlineLevel="1"/>
    <col min="13" max="13" width="18.81640625" hidden="1" customWidth="1" outlineLevel="1"/>
    <col min="14" max="14" width="5.1796875" hidden="1" customWidth="1" outlineLevel="1"/>
    <col min="15" max="15" width="10.453125" hidden="1" customWidth="1" outlineLevel="1"/>
    <col min="16" max="16" width="18.81640625" hidden="1" customWidth="1" outlineLevel="1"/>
    <col min="17" max="17" width="5.1796875" hidden="1" customWidth="1" outlineLevel="1"/>
    <col min="18" max="18" width="10.453125" hidden="1" customWidth="1" outlineLevel="1"/>
    <col min="19" max="19" width="18.81640625" hidden="1" customWidth="1" outlineLevel="1"/>
    <col min="20" max="20" width="5.1796875" hidden="1" customWidth="1" outlineLevel="1"/>
    <col min="21" max="21" width="10.453125" hidden="1" customWidth="1" outlineLevel="1"/>
    <col min="22" max="22" width="1" hidden="1" customWidth="1" outlineLevel="1"/>
    <col min="23" max="23" width="14.81640625" customWidth="1" collapsed="1"/>
    <col min="24" max="24" width="1" customWidth="1"/>
    <col min="25" max="25" width="11.54296875" style="2" customWidth="1"/>
    <col min="26" max="26" width="12.1796875" style="2" bestFit="1" customWidth="1"/>
    <col min="27" max="27" width="1.1796875" style="2" customWidth="1"/>
    <col min="28" max="28" width="13.54296875" customWidth="1"/>
    <col min="29" max="29" width="1.54296875" customWidth="1"/>
    <col min="30" max="30" width="10.453125" style="2" customWidth="1"/>
    <col min="31" max="31" width="14.453125" style="2" customWidth="1"/>
    <col min="32" max="32" width="1.26953125" customWidth="1"/>
    <col min="33" max="33" width="38.453125" style="3" customWidth="1"/>
    <col min="34" max="34" width="12.453125" customWidth="1"/>
  </cols>
  <sheetData>
    <row r="7" spans="2:33" ht="15" thickBot="1" x14ac:dyDescent="0.4">
      <c r="AB7" s="2"/>
      <c r="AC7" s="2"/>
    </row>
    <row r="8" spans="2:33" ht="15" thickBot="1" x14ac:dyDescent="0.4">
      <c r="B8" s="4" t="s">
        <v>0</v>
      </c>
      <c r="C8" s="5" t="s">
        <v>1</v>
      </c>
      <c r="D8" s="5" t="s">
        <v>2</v>
      </c>
      <c r="E8" s="6" t="s">
        <v>3</v>
      </c>
      <c r="G8" s="7" t="s">
        <v>34</v>
      </c>
      <c r="H8" s="7" t="s">
        <v>33</v>
      </c>
      <c r="J8" s="5" t="s">
        <v>5</v>
      </c>
      <c r="K8" s="5" t="s">
        <v>6</v>
      </c>
      <c r="L8" s="8" t="s">
        <v>4</v>
      </c>
      <c r="M8" s="5" t="s">
        <v>5</v>
      </c>
      <c r="N8" s="5" t="s">
        <v>6</v>
      </c>
      <c r="O8" s="8" t="s">
        <v>4</v>
      </c>
      <c r="P8" s="5" t="s">
        <v>5</v>
      </c>
      <c r="Q8" s="5" t="s">
        <v>6</v>
      </c>
      <c r="R8" s="8" t="s">
        <v>4</v>
      </c>
      <c r="S8" s="5" t="s">
        <v>5</v>
      </c>
      <c r="T8" s="5" t="s">
        <v>6</v>
      </c>
      <c r="U8" s="7" t="s">
        <v>28</v>
      </c>
      <c r="V8" s="9"/>
      <c r="W8" s="64" t="s">
        <v>32</v>
      </c>
      <c r="X8" s="9"/>
      <c r="Y8" s="7" t="s">
        <v>31</v>
      </c>
      <c r="Z8" s="7" t="s">
        <v>30</v>
      </c>
      <c r="AB8" s="63" t="s">
        <v>29</v>
      </c>
      <c r="AD8" s="7" t="s">
        <v>7</v>
      </c>
      <c r="AE8" s="10" t="s">
        <v>35</v>
      </c>
      <c r="AG8" s="5" t="s">
        <v>8</v>
      </c>
    </row>
    <row r="9" spans="2:33" x14ac:dyDescent="0.35">
      <c r="B9" s="11" t="s">
        <v>9</v>
      </c>
      <c r="C9" s="12" t="s">
        <v>27</v>
      </c>
      <c r="D9" s="12" t="s">
        <v>10</v>
      </c>
      <c r="E9" s="13">
        <v>5649</v>
      </c>
      <c r="G9" s="14">
        <v>3</v>
      </c>
      <c r="H9" s="13">
        <f>E9*G9</f>
        <v>16947</v>
      </c>
      <c r="J9" s="15" t="s">
        <v>11</v>
      </c>
      <c r="K9" s="16">
        <v>3</v>
      </c>
      <c r="L9" s="17">
        <v>1000</v>
      </c>
      <c r="M9" s="15"/>
      <c r="N9" s="16"/>
      <c r="O9" s="17"/>
      <c r="P9" s="15"/>
      <c r="Q9" s="16"/>
      <c r="R9" s="17"/>
      <c r="S9" s="15"/>
      <c r="T9" s="16"/>
      <c r="U9" s="13"/>
      <c r="W9" s="65">
        <f>(L9+O9+R9+U9)</f>
        <v>1000</v>
      </c>
      <c r="Y9" s="14">
        <f>SUM(K9,N9,Q9,T9)</f>
        <v>3</v>
      </c>
      <c r="Z9" s="13">
        <f>E9*Y9</f>
        <v>16947</v>
      </c>
      <c r="AB9" s="57">
        <f>Z9-W9</f>
        <v>15947</v>
      </c>
      <c r="AD9" s="18">
        <f>G9-Y9</f>
        <v>0</v>
      </c>
      <c r="AE9" s="13">
        <f>$E9*AD9</f>
        <v>0</v>
      </c>
      <c r="AG9" s="19"/>
    </row>
    <row r="10" spans="2:33" x14ac:dyDescent="0.35">
      <c r="B10" s="11"/>
      <c r="C10" s="12" t="s">
        <v>12</v>
      </c>
      <c r="D10" s="12" t="s">
        <v>13</v>
      </c>
      <c r="E10" s="13">
        <v>2300</v>
      </c>
      <c r="G10" s="14">
        <v>3</v>
      </c>
      <c r="H10" s="13">
        <f t="shared" ref="H10:H13" si="0">E10*G10</f>
        <v>6900</v>
      </c>
      <c r="J10" s="20"/>
      <c r="K10" s="21"/>
      <c r="L10" s="22"/>
      <c r="M10" s="20"/>
      <c r="N10" s="21"/>
      <c r="O10" s="22"/>
      <c r="P10" s="20"/>
      <c r="Q10" s="21"/>
      <c r="R10" s="22"/>
      <c r="S10" s="20"/>
      <c r="T10" s="21"/>
      <c r="U10" s="13"/>
      <c r="W10" s="65">
        <f t="shared" ref="W10:W13" si="1">(L10+O10+R10+U10)</f>
        <v>0</v>
      </c>
      <c r="Y10" s="14">
        <f>SUM(K10,N10,Q10,T10)</f>
        <v>0</v>
      </c>
      <c r="Z10" s="13">
        <f t="shared" ref="Z10:Z13" si="2">E10*Y10</f>
        <v>0</v>
      </c>
      <c r="AB10" s="57">
        <f t="shared" ref="AB10:AB13" si="3">Z10-W10</f>
        <v>0</v>
      </c>
      <c r="AD10" s="18">
        <f>G10-Y10</f>
        <v>3</v>
      </c>
      <c r="AE10" s="13">
        <f t="shared" ref="AE10:AE13" si="4">$E10*AD10</f>
        <v>6900</v>
      </c>
      <c r="AG10" s="19"/>
    </row>
    <row r="11" spans="2:33" x14ac:dyDescent="0.35">
      <c r="B11" s="11"/>
      <c r="C11" s="12" t="s">
        <v>14</v>
      </c>
      <c r="D11" s="12" t="s">
        <v>15</v>
      </c>
      <c r="E11" s="13">
        <v>3000</v>
      </c>
      <c r="G11" s="14">
        <v>3</v>
      </c>
      <c r="H11" s="13">
        <f t="shared" si="0"/>
        <v>9000</v>
      </c>
      <c r="J11" s="20"/>
      <c r="K11" s="21"/>
      <c r="L11" s="22"/>
      <c r="M11" s="20"/>
      <c r="N11" s="21"/>
      <c r="O11" s="22"/>
      <c r="P11" s="20"/>
      <c r="Q11" s="21"/>
      <c r="R11" s="22"/>
      <c r="S11" s="20"/>
      <c r="T11" s="21"/>
      <c r="U11" s="13"/>
      <c r="W11" s="65">
        <f t="shared" si="1"/>
        <v>0</v>
      </c>
      <c r="Y11" s="14">
        <f>SUM(K11,N11,Q11,T11)</f>
        <v>0</v>
      </c>
      <c r="Z11" s="13">
        <f t="shared" si="2"/>
        <v>0</v>
      </c>
      <c r="AB11" s="57">
        <f t="shared" si="3"/>
        <v>0</v>
      </c>
      <c r="AD11" s="18">
        <f>G11-Y11</f>
        <v>3</v>
      </c>
      <c r="AE11" s="13">
        <f t="shared" si="4"/>
        <v>9000</v>
      </c>
      <c r="AG11" s="19"/>
    </row>
    <row r="12" spans="2:33" x14ac:dyDescent="0.35">
      <c r="B12" s="11"/>
      <c r="C12" s="12" t="s">
        <v>26</v>
      </c>
      <c r="D12" s="12" t="s">
        <v>16</v>
      </c>
      <c r="E12" s="13">
        <v>6000</v>
      </c>
      <c r="G12" s="14">
        <v>3</v>
      </c>
      <c r="H12" s="13">
        <f t="shared" si="0"/>
        <v>18000</v>
      </c>
      <c r="J12" s="20"/>
      <c r="K12" s="21"/>
      <c r="L12" s="22"/>
      <c r="M12" s="20"/>
      <c r="N12" s="21"/>
      <c r="O12" s="22"/>
      <c r="P12" s="20"/>
      <c r="Q12" s="21"/>
      <c r="R12" s="22"/>
      <c r="S12" s="20"/>
      <c r="T12" s="21"/>
      <c r="U12" s="13"/>
      <c r="W12" s="65">
        <f t="shared" si="1"/>
        <v>0</v>
      </c>
      <c r="Y12" s="14">
        <f>SUM(K12,N12,Q12,T12)</f>
        <v>0</v>
      </c>
      <c r="Z12" s="13">
        <f t="shared" si="2"/>
        <v>0</v>
      </c>
      <c r="AB12" s="57">
        <f t="shared" si="3"/>
        <v>0</v>
      </c>
      <c r="AD12" s="18">
        <f>G12-Y12</f>
        <v>3</v>
      </c>
      <c r="AE12" s="13">
        <f t="shared" si="4"/>
        <v>18000</v>
      </c>
      <c r="AG12" s="19"/>
    </row>
    <row r="13" spans="2:33" x14ac:dyDescent="0.35">
      <c r="B13" s="11"/>
      <c r="C13" s="12"/>
      <c r="D13" s="12"/>
      <c r="E13" s="13"/>
      <c r="G13" s="14"/>
      <c r="H13" s="13">
        <f t="shared" si="0"/>
        <v>0</v>
      </c>
      <c r="J13" s="20"/>
      <c r="K13" s="21"/>
      <c r="L13" s="22"/>
      <c r="M13" s="20"/>
      <c r="N13" s="21"/>
      <c r="O13" s="22"/>
      <c r="P13" s="20"/>
      <c r="Q13" s="21"/>
      <c r="R13" s="22"/>
      <c r="S13" s="20"/>
      <c r="T13" s="21"/>
      <c r="U13" s="13"/>
      <c r="W13" s="65">
        <f t="shared" si="1"/>
        <v>0</v>
      </c>
      <c r="Y13" s="14">
        <f>SUM(K13,N13,Q13,T13)</f>
        <v>0</v>
      </c>
      <c r="Z13" s="13">
        <f t="shared" si="2"/>
        <v>0</v>
      </c>
      <c r="AB13" s="57">
        <f t="shared" si="3"/>
        <v>0</v>
      </c>
      <c r="AD13" s="18">
        <f>G13-Y13</f>
        <v>0</v>
      </c>
      <c r="AE13" s="13">
        <f t="shared" si="4"/>
        <v>0</v>
      </c>
      <c r="AG13" s="19"/>
    </row>
    <row r="14" spans="2:33" ht="15" thickBot="1" x14ac:dyDescent="0.4">
      <c r="B14" s="23"/>
      <c r="C14" s="24"/>
      <c r="D14" s="24"/>
      <c r="E14" s="25"/>
      <c r="G14" s="26"/>
      <c r="H14" s="25">
        <f>SUBTOTAL(9, H9:H13)</f>
        <v>50847</v>
      </c>
      <c r="J14" s="27"/>
      <c r="K14" s="28"/>
      <c r="L14" s="29">
        <f>SUBTOTAL(9, L9:L13)</f>
        <v>1000</v>
      </c>
      <c r="M14" s="27"/>
      <c r="N14" s="28"/>
      <c r="O14" s="29">
        <f>SUBTOTAL(9, O9:O13)</f>
        <v>0</v>
      </c>
      <c r="P14" s="27"/>
      <c r="Q14" s="28"/>
      <c r="R14" s="29">
        <f>SUBTOTAL(9, R9:R13)</f>
        <v>0</v>
      </c>
      <c r="S14" s="27"/>
      <c r="T14" s="28"/>
      <c r="U14" s="25">
        <f>SUBTOTAL(9, U9:U13)</f>
        <v>0</v>
      </c>
      <c r="W14" s="66">
        <f>SUBTOTAL(9, W9:W13)</f>
        <v>1000</v>
      </c>
      <c r="Y14" s="26"/>
      <c r="Z14" s="25">
        <f>SUBTOTAL(9, Z9:Z13)</f>
        <v>16947</v>
      </c>
      <c r="AB14" s="58">
        <f>SUBTOTAL(9, AB9:AB13)</f>
        <v>15947</v>
      </c>
      <c r="AD14" s="30"/>
      <c r="AE14" s="25">
        <f>SUBTOTAL(9, AE9:AE13)</f>
        <v>33900</v>
      </c>
      <c r="AG14" s="31"/>
    </row>
    <row r="15" spans="2:33" ht="15" thickTop="1" x14ac:dyDescent="0.35">
      <c r="B15" s="32" t="s">
        <v>17</v>
      </c>
      <c r="C15" s="33"/>
      <c r="D15" s="33"/>
      <c r="E15" s="34"/>
      <c r="G15" s="35"/>
      <c r="H15" s="34">
        <f>E15*G15</f>
        <v>0</v>
      </c>
      <c r="J15" s="36"/>
      <c r="K15" s="36"/>
      <c r="L15" s="37"/>
      <c r="M15" s="36"/>
      <c r="N15" s="36"/>
      <c r="O15" s="37"/>
      <c r="P15" s="36"/>
      <c r="Q15" s="36"/>
      <c r="R15" s="37"/>
      <c r="S15" s="36"/>
      <c r="T15" s="36"/>
      <c r="U15" s="34"/>
      <c r="W15" s="67">
        <f>(L15+O15+R15+U15)</f>
        <v>0</v>
      </c>
      <c r="Y15" s="35">
        <f>SUM(K15,N15,Q15,T15)</f>
        <v>0</v>
      </c>
      <c r="Z15" s="34">
        <f>E15*Y15</f>
        <v>0</v>
      </c>
      <c r="AB15" s="59">
        <f>Z15-W15</f>
        <v>0</v>
      </c>
      <c r="AD15" s="38">
        <f>G15-Y15</f>
        <v>0</v>
      </c>
      <c r="AE15" s="34">
        <f>AD15*$E15</f>
        <v>0</v>
      </c>
      <c r="AG15"/>
    </row>
    <row r="16" spans="2:33" x14ac:dyDescent="0.35">
      <c r="B16" s="32"/>
      <c r="C16" s="33"/>
      <c r="D16" s="33"/>
      <c r="E16" s="34"/>
      <c r="G16" s="35"/>
      <c r="H16" s="34">
        <f t="shared" ref="H16:H19" si="5">E16*G16</f>
        <v>0</v>
      </c>
      <c r="L16" s="39"/>
      <c r="O16" s="39"/>
      <c r="R16" s="39"/>
      <c r="U16" s="34"/>
      <c r="W16" s="67">
        <f t="shared" ref="W16:W19" si="6">(L16+O16+R16+U16)</f>
        <v>0</v>
      </c>
      <c r="Y16" s="35">
        <f>SUM(K16,N16,Q16,T16)</f>
        <v>0</v>
      </c>
      <c r="Z16" s="34">
        <f t="shared" ref="Z16:Z19" si="7">E16*Y16</f>
        <v>0</v>
      </c>
      <c r="AB16" s="59">
        <f t="shared" ref="AB16:AB19" si="8">Z16-W16</f>
        <v>0</v>
      </c>
      <c r="AD16" s="38">
        <f>G16-Y16</f>
        <v>0</v>
      </c>
      <c r="AE16" s="34">
        <f t="shared" ref="AE16:AE19" si="9">AD16*$E16</f>
        <v>0</v>
      </c>
      <c r="AG16"/>
    </row>
    <row r="17" spans="2:33" x14ac:dyDescent="0.35">
      <c r="B17" s="32"/>
      <c r="C17" s="33"/>
      <c r="D17" s="33"/>
      <c r="E17" s="34"/>
      <c r="G17" s="35"/>
      <c r="H17" s="34">
        <f t="shared" si="5"/>
        <v>0</v>
      </c>
      <c r="L17" s="39"/>
      <c r="O17" s="39"/>
      <c r="R17" s="39"/>
      <c r="U17" s="34"/>
      <c r="W17" s="67">
        <f t="shared" si="6"/>
        <v>0</v>
      </c>
      <c r="Y17" s="35">
        <f>SUM(K17,N17,Q17,T17)</f>
        <v>0</v>
      </c>
      <c r="Z17" s="34">
        <f t="shared" si="7"/>
        <v>0</v>
      </c>
      <c r="AB17" s="59">
        <f t="shared" si="8"/>
        <v>0</v>
      </c>
      <c r="AD17" s="38">
        <f>G17-Y17</f>
        <v>0</v>
      </c>
      <c r="AE17" s="34">
        <f t="shared" si="9"/>
        <v>0</v>
      </c>
      <c r="AG17"/>
    </row>
    <row r="18" spans="2:33" x14ac:dyDescent="0.35">
      <c r="B18" s="32"/>
      <c r="C18" s="33"/>
      <c r="D18" s="33"/>
      <c r="E18" s="34"/>
      <c r="G18" s="35"/>
      <c r="H18" s="34">
        <f t="shared" si="5"/>
        <v>0</v>
      </c>
      <c r="L18" s="39"/>
      <c r="O18" s="39"/>
      <c r="R18" s="39"/>
      <c r="U18" s="34"/>
      <c r="W18" s="67">
        <f t="shared" si="6"/>
        <v>0</v>
      </c>
      <c r="Y18" s="35">
        <f>SUM(K18,N18,Q18,T18)</f>
        <v>0</v>
      </c>
      <c r="Z18" s="34">
        <f t="shared" si="7"/>
        <v>0</v>
      </c>
      <c r="AB18" s="59">
        <f t="shared" si="8"/>
        <v>0</v>
      </c>
      <c r="AD18" s="38">
        <f>G18-Y18</f>
        <v>0</v>
      </c>
      <c r="AE18" s="34">
        <f t="shared" si="9"/>
        <v>0</v>
      </c>
      <c r="AG18"/>
    </row>
    <row r="19" spans="2:33" x14ac:dyDescent="0.35">
      <c r="B19" s="32"/>
      <c r="C19" s="33"/>
      <c r="D19" s="33"/>
      <c r="E19" s="34"/>
      <c r="G19" s="35"/>
      <c r="H19" s="34">
        <f t="shared" si="5"/>
        <v>0</v>
      </c>
      <c r="L19" s="39"/>
      <c r="O19" s="39"/>
      <c r="R19" s="39"/>
      <c r="U19" s="34"/>
      <c r="W19" s="67">
        <f t="shared" si="6"/>
        <v>0</v>
      </c>
      <c r="Y19" s="35">
        <f>SUM(K19,N19,Q19,T19)</f>
        <v>0</v>
      </c>
      <c r="Z19" s="34">
        <f t="shared" si="7"/>
        <v>0</v>
      </c>
      <c r="AB19" s="59">
        <f t="shared" si="8"/>
        <v>0</v>
      </c>
      <c r="AD19" s="38">
        <f>G19-Y19</f>
        <v>0</v>
      </c>
      <c r="AE19" s="34">
        <f t="shared" si="9"/>
        <v>0</v>
      </c>
      <c r="AG19"/>
    </row>
    <row r="20" spans="2:33" ht="15" thickBot="1" x14ac:dyDescent="0.4">
      <c r="B20" s="40"/>
      <c r="C20" s="41"/>
      <c r="D20" s="41"/>
      <c r="E20" s="42"/>
      <c r="G20" s="43"/>
      <c r="H20" s="44">
        <f>SUBTOTAL(9, H15:H19)</f>
        <v>0</v>
      </c>
      <c r="J20" s="45"/>
      <c r="K20" s="45"/>
      <c r="L20" s="46">
        <f>SUBTOTAL(9, L15:L19)</f>
        <v>0</v>
      </c>
      <c r="M20" s="47"/>
      <c r="N20" s="47"/>
      <c r="O20" s="46">
        <f>SUBTOTAL(9, O15:O19)</f>
        <v>0</v>
      </c>
      <c r="P20" s="47"/>
      <c r="Q20" s="47"/>
      <c r="R20" s="46">
        <f>SUBTOTAL(9, R15:R19)</f>
        <v>0</v>
      </c>
      <c r="S20" s="47"/>
      <c r="T20" s="47"/>
      <c r="U20" s="44">
        <f>SUBTOTAL(9, U15:U19)</f>
        <v>0</v>
      </c>
      <c r="W20" s="68">
        <f>SUBTOTAL(9, W15:W19)</f>
        <v>0</v>
      </c>
      <c r="Y20" s="43"/>
      <c r="Z20" s="44">
        <f>SUBTOTAL(9, Z15:Z19)</f>
        <v>0</v>
      </c>
      <c r="AB20" s="60">
        <f>SUBTOTAL(9, AB15:AB19)</f>
        <v>0</v>
      </c>
      <c r="AD20" s="48"/>
      <c r="AE20" s="44">
        <f>SUBTOTAL(9, AE15:AE19)</f>
        <v>0</v>
      </c>
      <c r="AG20" s="45"/>
    </row>
    <row r="21" spans="2:33" ht="15" thickTop="1" x14ac:dyDescent="0.35">
      <c r="B21" s="11" t="s">
        <v>18</v>
      </c>
      <c r="C21" s="12" t="s">
        <v>19</v>
      </c>
      <c r="D21" s="12" t="s">
        <v>20</v>
      </c>
      <c r="E21" s="13">
        <v>9036.67</v>
      </c>
      <c r="G21" s="14">
        <v>1</v>
      </c>
      <c r="H21" s="13">
        <f>E21*G21</f>
        <v>9036.67</v>
      </c>
      <c r="J21" s="15" t="s">
        <v>21</v>
      </c>
      <c r="K21" s="16">
        <v>1</v>
      </c>
      <c r="L21" s="17">
        <v>2000</v>
      </c>
      <c r="M21" s="15"/>
      <c r="N21" s="16"/>
      <c r="O21" s="17"/>
      <c r="P21" s="15"/>
      <c r="Q21" s="16"/>
      <c r="R21" s="17"/>
      <c r="S21" s="15"/>
      <c r="T21" s="16"/>
      <c r="U21" s="13"/>
      <c r="W21" s="65">
        <f>(L21+O21+R21+U21)</f>
        <v>2000</v>
      </c>
      <c r="Y21" s="14">
        <f>SUM(K21,N21,Q21,T21)</f>
        <v>1</v>
      </c>
      <c r="Z21" s="13">
        <f>E21*Y21</f>
        <v>9036.67</v>
      </c>
      <c r="AB21" s="57">
        <f>Z21-W21</f>
        <v>7036.67</v>
      </c>
      <c r="AD21" s="18">
        <f t="shared" ref="AD21:AD27" si="10">G21-Y21</f>
        <v>0</v>
      </c>
      <c r="AE21" s="13">
        <f>$E21*AD21</f>
        <v>0</v>
      </c>
      <c r="AG21" s="19"/>
    </row>
    <row r="22" spans="2:33" x14ac:dyDescent="0.35">
      <c r="B22" s="11"/>
      <c r="C22" s="12"/>
      <c r="D22" s="12"/>
      <c r="E22" s="13"/>
      <c r="G22" s="14"/>
      <c r="H22" s="13">
        <f t="shared" ref="H22:H30" si="11">E22*G22</f>
        <v>0</v>
      </c>
      <c r="J22" s="20"/>
      <c r="K22" s="21"/>
      <c r="L22" s="22"/>
      <c r="M22" s="20"/>
      <c r="N22" s="21"/>
      <c r="O22" s="22"/>
      <c r="P22" s="20"/>
      <c r="Q22" s="21"/>
      <c r="R22" s="22"/>
      <c r="S22" s="20"/>
      <c r="T22" s="21"/>
      <c r="U22" s="13"/>
      <c r="W22" s="65">
        <f t="shared" ref="W22:W25" si="12">(L22+O22+R22+U22)</f>
        <v>0</v>
      </c>
      <c r="Y22" s="14">
        <f>SUM(K22,N22,Q22,T22)</f>
        <v>0</v>
      </c>
      <c r="Z22" s="13">
        <f t="shared" ref="Z22:Z25" si="13">E22*Y22</f>
        <v>0</v>
      </c>
      <c r="AB22" s="57">
        <f t="shared" ref="AB22:AB25" si="14">Z22-W22</f>
        <v>0</v>
      </c>
      <c r="AD22" s="18">
        <f t="shared" si="10"/>
        <v>0</v>
      </c>
      <c r="AE22" s="13">
        <f t="shared" ref="AE22:AE30" si="15">$E22*AD22</f>
        <v>0</v>
      </c>
      <c r="AG22" s="19"/>
    </row>
    <row r="23" spans="2:33" x14ac:dyDescent="0.35">
      <c r="B23" s="11"/>
      <c r="C23" s="12"/>
      <c r="D23" s="12"/>
      <c r="E23" s="13"/>
      <c r="G23" s="14"/>
      <c r="H23" s="13">
        <f t="shared" si="11"/>
        <v>0</v>
      </c>
      <c r="J23" s="20"/>
      <c r="K23" s="21"/>
      <c r="L23" s="22"/>
      <c r="M23" s="20"/>
      <c r="N23" s="21"/>
      <c r="O23" s="22"/>
      <c r="P23" s="20"/>
      <c r="Q23" s="21"/>
      <c r="R23" s="22"/>
      <c r="S23" s="20"/>
      <c r="T23" s="21"/>
      <c r="U23" s="13"/>
      <c r="W23" s="65">
        <f t="shared" si="12"/>
        <v>0</v>
      </c>
      <c r="Y23" s="14">
        <f>SUM(K23,N23,Q23,T23)</f>
        <v>0</v>
      </c>
      <c r="Z23" s="13">
        <f t="shared" si="13"/>
        <v>0</v>
      </c>
      <c r="AB23" s="57">
        <f t="shared" si="14"/>
        <v>0</v>
      </c>
      <c r="AD23" s="18">
        <f t="shared" si="10"/>
        <v>0</v>
      </c>
      <c r="AE23" s="13">
        <f t="shared" si="15"/>
        <v>0</v>
      </c>
      <c r="AG23" s="19"/>
    </row>
    <row r="24" spans="2:33" x14ac:dyDescent="0.35">
      <c r="B24" s="11"/>
      <c r="C24" s="12"/>
      <c r="D24" s="12"/>
      <c r="E24" s="13"/>
      <c r="G24" s="14"/>
      <c r="H24" s="13">
        <f t="shared" si="11"/>
        <v>0</v>
      </c>
      <c r="J24" s="20"/>
      <c r="K24" s="21"/>
      <c r="L24" s="22"/>
      <c r="M24" s="20"/>
      <c r="N24" s="21"/>
      <c r="O24" s="22"/>
      <c r="P24" s="20"/>
      <c r="Q24" s="21"/>
      <c r="R24" s="22"/>
      <c r="S24" s="20"/>
      <c r="T24" s="21"/>
      <c r="U24" s="13"/>
      <c r="W24" s="65">
        <f t="shared" si="12"/>
        <v>0</v>
      </c>
      <c r="Y24" s="14">
        <f>SUM(K24,N24,Q24,T24)</f>
        <v>0</v>
      </c>
      <c r="Z24" s="13">
        <f t="shared" si="13"/>
        <v>0</v>
      </c>
      <c r="AB24" s="57">
        <f t="shared" si="14"/>
        <v>0</v>
      </c>
      <c r="AD24" s="18">
        <f t="shared" si="10"/>
        <v>0</v>
      </c>
      <c r="AE24" s="13">
        <f t="shared" si="15"/>
        <v>0</v>
      </c>
      <c r="AG24" s="19"/>
    </row>
    <row r="25" spans="2:33" x14ac:dyDescent="0.35">
      <c r="B25" s="11"/>
      <c r="C25" s="12"/>
      <c r="D25" s="12"/>
      <c r="E25" s="13"/>
      <c r="G25" s="14"/>
      <c r="H25" s="13">
        <f t="shared" si="11"/>
        <v>0</v>
      </c>
      <c r="J25" s="20"/>
      <c r="K25" s="21"/>
      <c r="L25" s="22"/>
      <c r="M25" s="20"/>
      <c r="N25" s="21"/>
      <c r="O25" s="22"/>
      <c r="P25" s="20"/>
      <c r="Q25" s="21"/>
      <c r="R25" s="22"/>
      <c r="S25" s="20"/>
      <c r="T25" s="21"/>
      <c r="U25" s="13"/>
      <c r="W25" s="65">
        <f t="shared" si="12"/>
        <v>0</v>
      </c>
      <c r="Y25" s="14">
        <f>SUM(K25,N25,Q25,T25)</f>
        <v>0</v>
      </c>
      <c r="Z25" s="13">
        <f t="shared" si="13"/>
        <v>0</v>
      </c>
      <c r="AB25" s="57">
        <f t="shared" si="14"/>
        <v>0</v>
      </c>
      <c r="AD25" s="18">
        <f t="shared" si="10"/>
        <v>0</v>
      </c>
      <c r="AE25" s="13">
        <f t="shared" si="15"/>
        <v>0</v>
      </c>
      <c r="AG25" s="19"/>
    </row>
    <row r="26" spans="2:33" ht="15" thickBot="1" x14ac:dyDescent="0.4">
      <c r="B26" s="23"/>
      <c r="C26" s="24"/>
      <c r="D26" s="24"/>
      <c r="E26" s="25"/>
      <c r="G26" s="26"/>
      <c r="H26" s="25">
        <f t="shared" si="11"/>
        <v>0</v>
      </c>
      <c r="J26" s="27"/>
      <c r="K26" s="28"/>
      <c r="L26" s="29">
        <f>SUBTOTAL(9, L21:L25)</f>
        <v>2000</v>
      </c>
      <c r="M26" s="27"/>
      <c r="N26" s="28"/>
      <c r="O26" s="29">
        <f>SUBTOTAL(9, O21:O25)</f>
        <v>0</v>
      </c>
      <c r="P26" s="27"/>
      <c r="Q26" s="28"/>
      <c r="R26" s="29">
        <f>SUBTOTAL(9, R21:R25)</f>
        <v>0</v>
      </c>
      <c r="S26" s="27"/>
      <c r="T26" s="28"/>
      <c r="U26" s="25">
        <f>SUBTOTAL(9, U21:U25)</f>
        <v>0</v>
      </c>
      <c r="W26" s="66">
        <f>SUBTOTAL(9, W21:W25)</f>
        <v>2000</v>
      </c>
      <c r="Y26" s="26"/>
      <c r="Z26" s="25">
        <f>SUBTOTAL(9, Z21:Z25)</f>
        <v>9036.67</v>
      </c>
      <c r="AB26" s="58">
        <f>SUBTOTAL(9, AB21:AB25)</f>
        <v>7036.67</v>
      </c>
      <c r="AD26" s="30">
        <f t="shared" si="10"/>
        <v>0</v>
      </c>
      <c r="AE26" s="25">
        <f t="shared" si="15"/>
        <v>0</v>
      </c>
      <c r="AG26" s="31"/>
    </row>
    <row r="27" spans="2:33" ht="15" thickTop="1" x14ac:dyDescent="0.35">
      <c r="B27" s="32" t="s">
        <v>22</v>
      </c>
      <c r="C27" s="33"/>
      <c r="D27" s="33"/>
      <c r="E27" s="34"/>
      <c r="G27" s="35"/>
      <c r="H27" s="34">
        <f t="shared" si="11"/>
        <v>0</v>
      </c>
      <c r="J27" s="36"/>
      <c r="K27" s="36"/>
      <c r="L27" s="37"/>
      <c r="M27" s="36"/>
      <c r="N27" s="36"/>
      <c r="O27" s="37"/>
      <c r="P27" s="36"/>
      <c r="Q27" s="36"/>
      <c r="R27" s="37"/>
      <c r="S27" s="36"/>
      <c r="T27" s="36"/>
      <c r="U27" s="34"/>
      <c r="W27" s="67">
        <f>(L27+O27+R27+U27)</f>
        <v>0</v>
      </c>
      <c r="Y27" s="35">
        <f>SUM(K27,N27,Q27,T27)</f>
        <v>0</v>
      </c>
      <c r="Z27" s="34">
        <f>E27*Y27</f>
        <v>0</v>
      </c>
      <c r="AB27" s="59">
        <f>Z27-W27</f>
        <v>0</v>
      </c>
      <c r="AD27" s="38">
        <f t="shared" si="10"/>
        <v>0</v>
      </c>
      <c r="AE27" s="34">
        <f t="shared" si="15"/>
        <v>0</v>
      </c>
      <c r="AG27"/>
    </row>
    <row r="28" spans="2:33" x14ac:dyDescent="0.35">
      <c r="B28" s="32"/>
      <c r="C28" s="33"/>
      <c r="D28" s="33"/>
      <c r="E28" s="34"/>
      <c r="G28" s="35"/>
      <c r="H28" s="34">
        <f t="shared" si="11"/>
        <v>0</v>
      </c>
      <c r="L28" s="39"/>
      <c r="O28" s="39"/>
      <c r="R28" s="39"/>
      <c r="U28" s="34"/>
      <c r="W28" s="67">
        <f t="shared" ref="W28:W31" si="16">(L28+O28+R28+U28)</f>
        <v>0</v>
      </c>
      <c r="Y28" s="35">
        <f>SUM(K28,N28,Q28,T28)</f>
        <v>0</v>
      </c>
      <c r="Z28" s="34">
        <f t="shared" ref="Z28:Z31" si="17">E28*Y28</f>
        <v>0</v>
      </c>
      <c r="AB28" s="59">
        <f t="shared" ref="AB28:AB31" si="18">Z28-W28</f>
        <v>0</v>
      </c>
      <c r="AD28" s="38">
        <f t="shared" ref="AD28:AD31" si="19">G28-Y28</f>
        <v>0</v>
      </c>
      <c r="AE28" s="34">
        <f t="shared" si="15"/>
        <v>0</v>
      </c>
      <c r="AG28"/>
    </row>
    <row r="29" spans="2:33" x14ac:dyDescent="0.35">
      <c r="B29" s="32"/>
      <c r="C29" s="33"/>
      <c r="D29" s="33"/>
      <c r="E29" s="34"/>
      <c r="G29" s="35"/>
      <c r="H29" s="34">
        <f t="shared" si="11"/>
        <v>0</v>
      </c>
      <c r="L29" s="39"/>
      <c r="O29" s="39"/>
      <c r="R29" s="39"/>
      <c r="U29" s="34"/>
      <c r="W29" s="67">
        <f t="shared" si="16"/>
        <v>0</v>
      </c>
      <c r="Y29" s="35">
        <f>SUM(K29,N29,Q29,T29)</f>
        <v>0</v>
      </c>
      <c r="Z29" s="34">
        <f t="shared" si="17"/>
        <v>0</v>
      </c>
      <c r="AB29" s="59">
        <f t="shared" si="18"/>
        <v>0</v>
      </c>
      <c r="AD29" s="38">
        <f t="shared" si="19"/>
        <v>0</v>
      </c>
      <c r="AE29" s="34">
        <f t="shared" si="15"/>
        <v>0</v>
      </c>
      <c r="AG29"/>
    </row>
    <row r="30" spans="2:33" x14ac:dyDescent="0.35">
      <c r="B30" s="32"/>
      <c r="C30" s="33"/>
      <c r="D30" s="33"/>
      <c r="E30" s="34"/>
      <c r="G30" s="35"/>
      <c r="H30" s="34">
        <f t="shared" si="11"/>
        <v>0</v>
      </c>
      <c r="L30" s="39"/>
      <c r="O30" s="39"/>
      <c r="R30" s="39"/>
      <c r="U30" s="34"/>
      <c r="W30" s="67">
        <f t="shared" si="16"/>
        <v>0</v>
      </c>
      <c r="Y30" s="35">
        <f>SUM(K30,N30,Q30,T30)</f>
        <v>0</v>
      </c>
      <c r="Z30" s="34">
        <f t="shared" si="17"/>
        <v>0</v>
      </c>
      <c r="AB30" s="59">
        <f t="shared" si="18"/>
        <v>0</v>
      </c>
      <c r="AD30" s="38">
        <f t="shared" si="19"/>
        <v>0</v>
      </c>
      <c r="AE30" s="34">
        <f t="shared" si="15"/>
        <v>0</v>
      </c>
      <c r="AG30"/>
    </row>
    <row r="31" spans="2:33" x14ac:dyDescent="0.35">
      <c r="B31" s="32"/>
      <c r="C31" s="33"/>
      <c r="D31" s="33"/>
      <c r="E31" s="34"/>
      <c r="G31" s="35"/>
      <c r="H31" s="34">
        <f>SUBTOTAL(9, H21:H30)</f>
        <v>9036.67</v>
      </c>
      <c r="L31" s="39"/>
      <c r="O31" s="39"/>
      <c r="R31" s="39"/>
      <c r="U31" s="34"/>
      <c r="W31" s="67">
        <f t="shared" si="16"/>
        <v>0</v>
      </c>
      <c r="Y31" s="35">
        <f>SUM(K31,N31,Q31,T31)</f>
        <v>0</v>
      </c>
      <c r="Z31" s="34">
        <f t="shared" si="17"/>
        <v>0</v>
      </c>
      <c r="AB31" s="59">
        <f t="shared" si="18"/>
        <v>0</v>
      </c>
      <c r="AD31" s="38">
        <f t="shared" si="19"/>
        <v>0</v>
      </c>
      <c r="AE31" s="34">
        <f>SUBTOTAL(9, AE21:AE30)</f>
        <v>0</v>
      </c>
      <c r="AG31"/>
    </row>
    <row r="32" spans="2:33" ht="15" thickBot="1" x14ac:dyDescent="0.4">
      <c r="B32" s="40"/>
      <c r="C32" s="41"/>
      <c r="D32" s="41"/>
      <c r="E32" s="42"/>
      <c r="G32" s="43"/>
      <c r="H32" s="44">
        <f>E32*G32</f>
        <v>0</v>
      </c>
      <c r="J32" s="45"/>
      <c r="K32" s="45"/>
      <c r="L32" s="46">
        <f>SUBTOTAL(9, L27:L31)</f>
        <v>0</v>
      </c>
      <c r="M32" s="47"/>
      <c r="N32" s="47"/>
      <c r="O32" s="46">
        <f>SUBTOTAL(9, O27:O31)</f>
        <v>0</v>
      </c>
      <c r="P32" s="47"/>
      <c r="Q32" s="47"/>
      <c r="R32" s="46">
        <f>SUBTOTAL(9, R27:R31)</f>
        <v>0</v>
      </c>
      <c r="S32" s="47"/>
      <c r="T32" s="47"/>
      <c r="U32" s="44">
        <f>SUBTOTAL(9, U27:U31)</f>
        <v>0</v>
      </c>
      <c r="W32" s="68">
        <f>SUBTOTAL(9, W27:W31)</f>
        <v>0</v>
      </c>
      <c r="Y32" s="43"/>
      <c r="Z32" s="44">
        <f>SUBTOTAL(9, Z27:Z31)</f>
        <v>0</v>
      </c>
      <c r="AB32" s="60">
        <f>SUBTOTAL(9, AB27:AB31)</f>
        <v>0</v>
      </c>
      <c r="AD32" s="48">
        <f>G32-Y32</f>
        <v>0</v>
      </c>
      <c r="AE32" s="44">
        <f t="shared" ref="AE32:AE37" si="20">E32*AD32</f>
        <v>0</v>
      </c>
      <c r="AG32" s="45"/>
    </row>
    <row r="33" spans="2:33" ht="15" thickTop="1" x14ac:dyDescent="0.35">
      <c r="B33" s="11" t="s">
        <v>23</v>
      </c>
      <c r="C33" s="12"/>
      <c r="D33" s="12"/>
      <c r="E33" s="13"/>
      <c r="G33" s="14"/>
      <c r="H33" s="13">
        <f t="shared" ref="H33:H37" si="21">E33*G33</f>
        <v>0</v>
      </c>
      <c r="J33" s="15"/>
      <c r="K33" s="16"/>
      <c r="L33" s="17"/>
      <c r="M33" s="15"/>
      <c r="N33" s="16"/>
      <c r="O33" s="17"/>
      <c r="P33" s="15"/>
      <c r="Q33" s="16"/>
      <c r="R33" s="17"/>
      <c r="S33" s="15"/>
      <c r="T33" s="16"/>
      <c r="U33" s="13"/>
      <c r="W33" s="65">
        <f>(L33+O33+R33+U33)</f>
        <v>0</v>
      </c>
      <c r="Y33" s="14">
        <f>SUM(K33,N33,Q33,T33)</f>
        <v>0</v>
      </c>
      <c r="Z33" s="13">
        <f>E33*Y33</f>
        <v>0</v>
      </c>
      <c r="AB33" s="57">
        <f>Z33-W33</f>
        <v>0</v>
      </c>
      <c r="AD33" s="18">
        <f>G33-Y33</f>
        <v>0</v>
      </c>
      <c r="AE33" s="13">
        <f t="shared" si="20"/>
        <v>0</v>
      </c>
      <c r="AG33" s="19"/>
    </row>
    <row r="34" spans="2:33" x14ac:dyDescent="0.35">
      <c r="B34" s="11"/>
      <c r="C34" s="12"/>
      <c r="D34" s="12"/>
      <c r="E34" s="13"/>
      <c r="G34" s="14"/>
      <c r="H34" s="13">
        <f t="shared" si="21"/>
        <v>0</v>
      </c>
      <c r="J34" s="20"/>
      <c r="K34" s="21"/>
      <c r="L34" s="22"/>
      <c r="M34" s="20"/>
      <c r="N34" s="21"/>
      <c r="O34" s="22"/>
      <c r="P34" s="20"/>
      <c r="Q34" s="21"/>
      <c r="R34" s="22"/>
      <c r="S34" s="20"/>
      <c r="T34" s="21"/>
      <c r="U34" s="13"/>
      <c r="W34" s="65">
        <f t="shared" ref="W34:W37" si="22">(L34+O34+R34+U34)</f>
        <v>0</v>
      </c>
      <c r="Y34" s="14">
        <f>SUM(K34,N34,Q34,T34)</f>
        <v>0</v>
      </c>
      <c r="Z34" s="13">
        <f t="shared" ref="Z34:Z37" si="23">E34*Y34</f>
        <v>0</v>
      </c>
      <c r="AB34" s="57">
        <f t="shared" ref="AB34:AB37" si="24">Z34-W34</f>
        <v>0</v>
      </c>
      <c r="AD34" s="18">
        <f t="shared" ref="AD34:AD36" si="25">G34-Y34</f>
        <v>0</v>
      </c>
      <c r="AE34" s="13">
        <f t="shared" si="20"/>
        <v>0</v>
      </c>
      <c r="AG34" s="19"/>
    </row>
    <row r="35" spans="2:33" x14ac:dyDescent="0.35">
      <c r="B35" s="11"/>
      <c r="C35" s="12"/>
      <c r="D35" s="12"/>
      <c r="E35" s="13"/>
      <c r="G35" s="14"/>
      <c r="H35" s="13">
        <f t="shared" si="21"/>
        <v>0</v>
      </c>
      <c r="J35" s="20"/>
      <c r="K35" s="21"/>
      <c r="L35" s="22"/>
      <c r="M35" s="20"/>
      <c r="N35" s="21"/>
      <c r="O35" s="22"/>
      <c r="P35" s="20"/>
      <c r="Q35" s="21"/>
      <c r="R35" s="22"/>
      <c r="S35" s="20"/>
      <c r="T35" s="21"/>
      <c r="U35" s="13"/>
      <c r="W35" s="65">
        <f t="shared" si="22"/>
        <v>0</v>
      </c>
      <c r="Y35" s="14">
        <f>SUM(K35,N35,Q35,T35)</f>
        <v>0</v>
      </c>
      <c r="Z35" s="13">
        <f t="shared" si="23"/>
        <v>0</v>
      </c>
      <c r="AB35" s="57">
        <f t="shared" si="24"/>
        <v>0</v>
      </c>
      <c r="AD35" s="18">
        <f t="shared" si="25"/>
        <v>0</v>
      </c>
      <c r="AE35" s="13">
        <f t="shared" si="20"/>
        <v>0</v>
      </c>
      <c r="AG35" s="19"/>
    </row>
    <row r="36" spans="2:33" x14ac:dyDescent="0.35">
      <c r="B36" s="11"/>
      <c r="C36" s="12"/>
      <c r="D36" s="12"/>
      <c r="E36" s="13"/>
      <c r="G36" s="14"/>
      <c r="H36" s="13">
        <f t="shared" si="21"/>
        <v>0</v>
      </c>
      <c r="J36" s="20"/>
      <c r="K36" s="21"/>
      <c r="L36" s="22"/>
      <c r="M36" s="20"/>
      <c r="N36" s="21"/>
      <c r="O36" s="22"/>
      <c r="P36" s="20"/>
      <c r="Q36" s="21"/>
      <c r="R36" s="22"/>
      <c r="S36" s="20"/>
      <c r="T36" s="21"/>
      <c r="U36" s="13"/>
      <c r="W36" s="65">
        <f t="shared" si="22"/>
        <v>0</v>
      </c>
      <c r="Y36" s="14">
        <f>SUM(K36,N36,Q36,T36)</f>
        <v>0</v>
      </c>
      <c r="Z36" s="13">
        <f t="shared" si="23"/>
        <v>0</v>
      </c>
      <c r="AB36" s="57">
        <f t="shared" si="24"/>
        <v>0</v>
      </c>
      <c r="AD36" s="18">
        <f t="shared" si="25"/>
        <v>0</v>
      </c>
      <c r="AE36" s="13">
        <f t="shared" si="20"/>
        <v>0</v>
      </c>
      <c r="AG36" s="19"/>
    </row>
    <row r="37" spans="2:33" x14ac:dyDescent="0.35">
      <c r="B37" s="11"/>
      <c r="C37" s="12"/>
      <c r="D37" s="12"/>
      <c r="E37" s="13"/>
      <c r="G37" s="14"/>
      <c r="H37" s="13">
        <f t="shared" si="21"/>
        <v>0</v>
      </c>
      <c r="J37" s="20"/>
      <c r="K37" s="21"/>
      <c r="L37" s="22"/>
      <c r="M37" s="20"/>
      <c r="N37" s="21"/>
      <c r="O37" s="22"/>
      <c r="P37" s="20"/>
      <c r="Q37" s="21"/>
      <c r="R37" s="22"/>
      <c r="S37" s="20"/>
      <c r="T37" s="21"/>
      <c r="U37" s="13"/>
      <c r="W37" s="65">
        <f t="shared" si="22"/>
        <v>0</v>
      </c>
      <c r="Y37" s="14">
        <f>SUM(K37,N37,Q37,T37)</f>
        <v>0</v>
      </c>
      <c r="Z37" s="13">
        <f t="shared" si="23"/>
        <v>0</v>
      </c>
      <c r="AB37" s="57">
        <f t="shared" si="24"/>
        <v>0</v>
      </c>
      <c r="AD37" s="18">
        <f>G37-Y37</f>
        <v>0</v>
      </c>
      <c r="AE37" s="13">
        <f t="shared" si="20"/>
        <v>0</v>
      </c>
      <c r="AG37" s="19"/>
    </row>
    <row r="38" spans="2:33" ht="15" thickBot="1" x14ac:dyDescent="0.4">
      <c r="B38" s="23"/>
      <c r="C38" s="24"/>
      <c r="D38" s="24"/>
      <c r="E38" s="25"/>
      <c r="G38" s="26"/>
      <c r="H38" s="25">
        <f>SUBTOTAL(9, H32:H37)</f>
        <v>0</v>
      </c>
      <c r="J38" s="27"/>
      <c r="K38" s="28"/>
      <c r="L38" s="29">
        <f>SUBTOTAL(9, L33:L37)</f>
        <v>0</v>
      </c>
      <c r="M38" s="27"/>
      <c r="N38" s="28"/>
      <c r="O38" s="29">
        <f>SUBTOTAL(9, O33:O37)</f>
        <v>0</v>
      </c>
      <c r="P38" s="27"/>
      <c r="Q38" s="28"/>
      <c r="R38" s="29">
        <f>SUBTOTAL(9, R33:R37)</f>
        <v>0</v>
      </c>
      <c r="S38" s="27"/>
      <c r="T38" s="28"/>
      <c r="U38" s="25">
        <f>SUBTOTAL(9, U33:U37)</f>
        <v>0</v>
      </c>
      <c r="W38" s="66">
        <f>SUBTOTAL(9, W33:W37)</f>
        <v>0</v>
      </c>
      <c r="Y38" s="26"/>
      <c r="Z38" s="25">
        <f>SUBTOTAL(9, Z33:Z37)</f>
        <v>0</v>
      </c>
      <c r="AB38" s="58">
        <f>SUBTOTAL(9, AB33:AB37)</f>
        <v>0</v>
      </c>
      <c r="AD38" s="30"/>
      <c r="AE38" s="25">
        <f>SUBTOTAL(9, AE32:AE37)</f>
        <v>0</v>
      </c>
      <c r="AG38" s="31"/>
    </row>
    <row r="39" spans="2:33" ht="15" thickTop="1" x14ac:dyDescent="0.35">
      <c r="B39" s="32" t="s">
        <v>24</v>
      </c>
      <c r="C39" s="33"/>
      <c r="D39" s="33"/>
      <c r="E39" s="34"/>
      <c r="G39" s="35"/>
      <c r="H39" s="34">
        <f>E39*G39</f>
        <v>0</v>
      </c>
      <c r="J39" s="36"/>
      <c r="K39" s="36"/>
      <c r="L39" s="37"/>
      <c r="M39" s="36"/>
      <c r="N39" s="36"/>
      <c r="O39" s="37"/>
      <c r="P39" s="36"/>
      <c r="Q39" s="36"/>
      <c r="R39" s="37"/>
      <c r="S39" s="36"/>
      <c r="T39" s="36"/>
      <c r="U39" s="34"/>
      <c r="W39" s="67">
        <f>(L39+O39+R39+U39)</f>
        <v>0</v>
      </c>
      <c r="Y39" s="35">
        <f>SUM(K39,N39,Q39,T39)</f>
        <v>0</v>
      </c>
      <c r="Z39" s="34">
        <f>E39*Y39</f>
        <v>0</v>
      </c>
      <c r="AB39" s="59">
        <f>Z39-W39</f>
        <v>0</v>
      </c>
      <c r="AD39" s="38">
        <f>G39-Y39</f>
        <v>0</v>
      </c>
      <c r="AE39" s="34">
        <f>E39*AD39</f>
        <v>0</v>
      </c>
      <c r="AG39"/>
    </row>
    <row r="40" spans="2:33" x14ac:dyDescent="0.35">
      <c r="B40" s="32"/>
      <c r="C40" s="33"/>
      <c r="D40" s="33"/>
      <c r="E40" s="34"/>
      <c r="G40" s="35"/>
      <c r="H40" s="34">
        <f>E40*G40</f>
        <v>0</v>
      </c>
      <c r="L40" s="39"/>
      <c r="O40" s="39"/>
      <c r="R40" s="39"/>
      <c r="U40" s="34"/>
      <c r="W40" s="67">
        <f t="shared" ref="W40:W43" si="26">(L40+O40+R40+U40)</f>
        <v>0</v>
      </c>
      <c r="Y40" s="35">
        <f>SUM(K40,N40,Q40,T40)</f>
        <v>0</v>
      </c>
      <c r="Z40" s="34">
        <f t="shared" ref="Z40:Z43" si="27">E40*Y40</f>
        <v>0</v>
      </c>
      <c r="AB40" s="59">
        <f t="shared" ref="AB40:AB43" si="28">Z40-W40</f>
        <v>0</v>
      </c>
      <c r="AD40" s="38">
        <f t="shared" ref="AD40:AD43" si="29">G40-Y40</f>
        <v>0</v>
      </c>
      <c r="AE40" s="34"/>
      <c r="AG40"/>
    </row>
    <row r="41" spans="2:33" x14ac:dyDescent="0.35">
      <c r="B41" s="32"/>
      <c r="C41" s="33"/>
      <c r="D41" s="33"/>
      <c r="E41" s="34"/>
      <c r="G41" s="35"/>
      <c r="H41" s="34">
        <f t="shared" ref="H41:H43" si="30">E41*G41</f>
        <v>0</v>
      </c>
      <c r="L41" s="39"/>
      <c r="O41" s="39"/>
      <c r="R41" s="39"/>
      <c r="U41" s="34"/>
      <c r="W41" s="67">
        <f t="shared" si="26"/>
        <v>0</v>
      </c>
      <c r="Y41" s="35">
        <f>SUM(K41,N41,Q41,T41)</f>
        <v>0</v>
      </c>
      <c r="Z41" s="34">
        <f t="shared" si="27"/>
        <v>0</v>
      </c>
      <c r="AB41" s="59">
        <f t="shared" si="28"/>
        <v>0</v>
      </c>
      <c r="AD41" s="38">
        <f t="shared" si="29"/>
        <v>0</v>
      </c>
      <c r="AE41" s="34">
        <f>E41*AD41</f>
        <v>0</v>
      </c>
      <c r="AG41"/>
    </row>
    <row r="42" spans="2:33" x14ac:dyDescent="0.35">
      <c r="B42" s="32"/>
      <c r="C42" s="33"/>
      <c r="D42" s="33"/>
      <c r="E42" s="34"/>
      <c r="G42" s="35"/>
      <c r="H42" s="34">
        <f t="shared" si="30"/>
        <v>0</v>
      </c>
      <c r="L42" s="39"/>
      <c r="O42" s="39"/>
      <c r="R42" s="39"/>
      <c r="U42" s="34"/>
      <c r="W42" s="67">
        <f t="shared" si="26"/>
        <v>0</v>
      </c>
      <c r="Y42" s="35">
        <f>SUM(K42,N42,Q42,T42)</f>
        <v>0</v>
      </c>
      <c r="Z42" s="34">
        <f t="shared" si="27"/>
        <v>0</v>
      </c>
      <c r="AB42" s="59">
        <f t="shared" si="28"/>
        <v>0</v>
      </c>
      <c r="AD42" s="38">
        <f t="shared" si="29"/>
        <v>0</v>
      </c>
      <c r="AE42" s="34">
        <f>E42*AD42</f>
        <v>0</v>
      </c>
      <c r="AG42"/>
    </row>
    <row r="43" spans="2:33" x14ac:dyDescent="0.35">
      <c r="B43" s="32"/>
      <c r="C43" s="33"/>
      <c r="D43" s="33"/>
      <c r="E43" s="34"/>
      <c r="G43" s="35"/>
      <c r="H43" s="34">
        <f t="shared" si="30"/>
        <v>0</v>
      </c>
      <c r="L43" s="39"/>
      <c r="O43" s="39"/>
      <c r="R43" s="39"/>
      <c r="U43" s="34"/>
      <c r="W43" s="67">
        <f t="shared" si="26"/>
        <v>0</v>
      </c>
      <c r="Y43" s="35">
        <f>SUM(K43,N43,Q43,T43)</f>
        <v>0</v>
      </c>
      <c r="Z43" s="34">
        <f t="shared" si="27"/>
        <v>0</v>
      </c>
      <c r="AB43" s="59">
        <f t="shared" si="28"/>
        <v>0</v>
      </c>
      <c r="AD43" s="38">
        <f t="shared" si="29"/>
        <v>0</v>
      </c>
      <c r="AE43" s="34">
        <f>E43*AD43</f>
        <v>0</v>
      </c>
      <c r="AG43"/>
    </row>
    <row r="44" spans="2:33" ht="15" thickBot="1" x14ac:dyDescent="0.4">
      <c r="B44" s="40"/>
      <c r="C44" s="41"/>
      <c r="D44" s="41"/>
      <c r="E44" s="42"/>
      <c r="G44" s="43"/>
      <c r="H44" s="44">
        <f>SUBTOTAL(9, H39:H43)</f>
        <v>0</v>
      </c>
      <c r="J44" s="45"/>
      <c r="K44" s="45"/>
      <c r="L44" s="46">
        <f>SUBTOTAL(9, L39:L43)</f>
        <v>0</v>
      </c>
      <c r="M44" s="47"/>
      <c r="N44" s="47"/>
      <c r="O44" s="46">
        <f>SUBTOTAL(9, O39:O43)</f>
        <v>0</v>
      </c>
      <c r="P44" s="47"/>
      <c r="Q44" s="47"/>
      <c r="R44" s="46">
        <f>SUBTOTAL(9, R39:R43)</f>
        <v>0</v>
      </c>
      <c r="S44" s="47"/>
      <c r="T44" s="47"/>
      <c r="U44" s="44">
        <f>SUBTOTAL(9, U39:U43)</f>
        <v>0</v>
      </c>
      <c r="W44" s="68">
        <f>SUBTOTAL(9, W39:W43)</f>
        <v>0</v>
      </c>
      <c r="Y44" s="43"/>
      <c r="Z44" s="44">
        <f>SUBTOTAL(9, Z39:Z43)</f>
        <v>0</v>
      </c>
      <c r="AB44" s="60">
        <f>SUBTOTAL(9, AB39:AB43)</f>
        <v>0</v>
      </c>
      <c r="AD44" s="48"/>
      <c r="AE44" s="44">
        <f>SUBTOTAL(9, AE39:AE43)</f>
        <v>0</v>
      </c>
      <c r="AG44" s="45"/>
    </row>
    <row r="45" spans="2:33" ht="6" customHeight="1" thickTop="1" x14ac:dyDescent="0.35">
      <c r="W45" s="69"/>
      <c r="AB45" s="61"/>
      <c r="AD45" s="50"/>
      <c r="AE45" s="50"/>
      <c r="AG45"/>
    </row>
    <row r="46" spans="2:33" ht="15" thickBot="1" x14ac:dyDescent="0.4">
      <c r="D46" s="51" t="s">
        <v>25</v>
      </c>
      <c r="E46" s="52"/>
      <c r="G46" s="55"/>
      <c r="H46" s="53">
        <f>SUBTOTAL(9, H9:H38)</f>
        <v>59883.67</v>
      </c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70">
        <f>SUBTOTAL(9, W9:W38)</f>
        <v>3000</v>
      </c>
      <c r="X46" s="50"/>
      <c r="Y46" s="56"/>
      <c r="Z46" s="53">
        <f>SUBTOTAL(9, Z9:Z38)</f>
        <v>25983.67</v>
      </c>
      <c r="AB46" s="62">
        <f>SUBTOTAL(9, AB9:AB38)</f>
        <v>22983.67</v>
      </c>
      <c r="AC46" s="49"/>
      <c r="AD46" s="54"/>
      <c r="AE46" s="53">
        <f>SUBTOTAL(9, AE9:AE38)</f>
        <v>33900</v>
      </c>
      <c r="AG46"/>
    </row>
    <row r="47" spans="2:33" x14ac:dyDescent="0.35">
      <c r="AG47"/>
    </row>
    <row r="48" spans="2:33" x14ac:dyDescent="0.35">
      <c r="AG48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Reuse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Ihhouf, Tarik</dc:creator>
  <cp:lastModifiedBy>Samba, Saad</cp:lastModifiedBy>
  <dcterms:created xsi:type="dcterms:W3CDTF">2026-05-14T17:04:09Z</dcterms:created>
  <dcterms:modified xsi:type="dcterms:W3CDTF">2026-05-20T13:47:30Z</dcterms:modified>
</cp:coreProperties>
</file>